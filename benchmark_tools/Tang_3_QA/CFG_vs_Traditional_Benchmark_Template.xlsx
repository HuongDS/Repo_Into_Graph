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bookViews>
  <sheets>
    <sheet name="Báo cáo" sheetId="1" r:id="rId1"/>
    <sheet name="Run" sheetId="2" r:id="rId2"/>
    <sheet name="Chi tiết Câu hỏ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<sst xmlns="http://schemas.openxmlformats.org/spreadsheetml/2006/main" count="258" uniqueCount="85">
  <si>
    <t>BÁO CÁO KẾT QUẢ THỬ NGHIỆM SO SÁNH: TRADITIONAL (CODE THÔ) VS GRAPH-BASED (CFG)</t>
  </si>
  <si>
    <t>Hạng mục Đánh giá (Metrics)</t>
  </si>
  <si>
    <t>Đơn vị</t>
  </si>
  <si>
    <t>Phương pháp Code Thô (Traditional)</t>
  </si>
  <si>
    <t>Phương pháp Đồ thị (CFG)</t>
  </si>
  <si>
    <t>Chênh lệch (Delta)</t>
  </si>
  <si>
    <t>% Tối ưu / Tăng trưởng</t>
  </si>
  <si>
    <t>Ghi chú &amp; Nhận xét</t>
  </si>
  <si>
    <t>Độ bao phủ trung bình (Average Total Coverage)</t>
  </si>
  <si>
    <t>%</t>
  </si>
  <si>
    <t>Chỉ số từ API assess-from-response</t>
  </si>
  <si>
    <t>Độ bao phủ theo Workflow (Coverage Workflow/Global)</t>
  </si>
  <si>
    <t>Tỷ lệ nút workflow được chạm đến</t>
  </si>
  <si>
    <t>Độ chính xác trung bình (Average Accuracy Rate)</t>
  </si>
  <si>
    <t>Chỉ số từ API assess-accuracy</t>
  </si>
  <si>
    <t>Thời gian sinh câu hỏi trung bình (Avg Gen Time)</t>
  </si>
  <si>
    <t>ms</t>
  </si>
  <si>
    <t>Thời gian Postman nhận Response</t>
  </si>
  <si>
    <t>Tổng Token đầu vào (Total Input Tokens)</t>
  </si>
  <si>
    <t>tokens</t>
  </si>
  <si>
    <t>Token truyền vào Gemini AI</t>
  </si>
  <si>
    <t>Tổng Token đầu ra (Total Output Tokens)</t>
  </si>
  <si>
    <t>Token Gemini AI phản hồi</t>
  </si>
  <si>
    <t>Số câu hỏi hợp lệ / Đúng logic</t>
  </si>
  <si>
    <t>câu</t>
  </si>
  <si>
    <t>Số câu không vi phạm logic code</t>
  </si>
  <si>
    <t>Độ phức tạp Cyclomatic Avg (Số cạnh active)</t>
  </si>
  <si>
    <t>cạnh</t>
  </si>
  <si>
    <t>Chỉ số từ API assess-difficulty</t>
  </si>
  <si>
    <t>STT Câu</t>
  </si>
  <si>
    <t>RUN_ID</t>
  </si>
  <si>
    <t>Tên Business</t>
  </si>
  <si>
    <t>Phương pháp</t>
  </si>
  <si>
    <t>Thời gian gen</t>
  </si>
  <si>
    <t>Input Tokens</t>
  </si>
  <si>
    <t>Output Tokens</t>
  </si>
  <si>
    <t>Coverage (%)</t>
  </si>
  <si>
    <t>Active Node Count</t>
  </si>
  <si>
    <t>Accuracy</t>
  </si>
  <si>
    <t>Accuracy Rate</t>
  </si>
  <si>
    <t>Cyclomatic</t>
  </si>
  <si>
    <t>RUN_0409_1150_TRAD</t>
  </si>
  <si>
    <t>Tính năng đăng nhập</t>
  </si>
  <si>
    <t>Traditional</t>
  </si>
  <si>
    <t>Đúng</t>
  </si>
  <si>
    <t>RUN_0409_1150_CFG</t>
  </si>
  <si>
    <t>Graph-based (CFG)</t>
  </si>
  <si>
    <t>RUN_0409_1201_TRAD</t>
  </si>
  <si>
    <t>Quản lý Đặt lịch hẹn</t>
  </si>
  <si>
    <t>RUN_0409_1201_CFG</t>
  </si>
  <si>
    <t>RUN_0409_1230_TRAD</t>
  </si>
  <si>
    <t>Quản lý Chat</t>
  </si>
  <si>
    <t>RUN_0409_1230_CFG</t>
  </si>
  <si>
    <t>Phương Pháp</t>
  </si>
  <si>
    <t>Nội dung câu hỏi</t>
  </si>
  <si>
    <t>Nếu một người dùng đã bị hệ thống khóa tài khoản cố gắng thực hiện đăng nhập, hệ thống sẽ xử lý như thế nào để đảm bảo tính bảo mật và ngăn chặn truy cập trái phép?</t>
  </si>
  <si>
    <t>Trong quy trình đăng ký tài khoản mới, nếu người dùng cung cấp thông tin trùng lặp với một tài khoản đã bị khóa trước đó, hệ thống sẽ xử lý tình huống này ra sao?</t>
  </si>
  <si>
    <t>Khi người dùng thực hiện yêu cầu cấp lại mật khẩu, hệ thống cần thực hiện những bước kiểm tra nào đối với tài khoản trước khi cho phép cập nhật mật khẩu mới?</t>
  </si>
  <si>
    <t>Trong trường hợp người dùng thực hiện đăng xuất, hệ thống cần thực hiện những hành động gì đối với các phiên làm việc hiện tại để đảm bảo an toàn?</t>
  </si>
  <si>
    <t>Khi một phiên làm việc hết hạn và người dùng thực hiện làm mới quyền truy cập, hệ thống sẽ thực hiện các bước kiểm tra nào để đảm bảo phiên làm việc mới là an toàn?</t>
  </si>
  <si>
    <t>Khi một người dùng thực hiện đăng ký tài khoản mới, hệ thống cần kiểm tra tính duy nhất của thông tin liên lạc. Nếu người dùng nhập một địa chỉ thư điện tử đã tồn tại trong hệ thống, quy trình xử lý sẽ phản ứng như thế nào để đảm bảo tính toàn vẹn dữ liệu?</t>
  </si>
  <si>
    <t>Trong tình huống người dùng quên mật khẩu và yêu cầu đặt lại, hệ thống yêu cầu xác thực mã dùng một lần (OTP). Nếu mã này không hợp lệ hoặc đã hết hạn, hệ thống sẽ xử lý bước tiếp theo như thế nào để bảo mật tài khoản?</t>
  </si>
  <si>
    <t>Khi một nhân viên đăng nhập thành công vào hệ thống, các phiên làm việc cũ của nhân viên đó cần được xử lý như thế nào để đảm bảo an toàn và tránh tình trạng nhiều thiết bị truy cập cùng lúc?</t>
  </si>
  <si>
    <t>Nếu một người dùng cố gắng yêu cầu gửi mã xác thực (OTP) nhưng tài khoản của họ đã bị hệ thống khóa (banned), hệ thống sẽ xử lý yêu cầu này ra sao để tuân thủ quy tắc quản trị?</t>
  </si>
  <si>
    <t>Khi người dùng thực hiện đăng xuất khỏi hệ thống, quy trình xử lý cần thực hiện hành động gì đối với khóa làm mới (refresh token) để đảm bảo khóa đó không thể bị lợi dụng trong tương lai?</t>
  </si>
  <si>
    <t>Nếu một người dùng cố tình gửi nhiều yêu cầu đặt lịch hẹn trong cùng một ngày, hệ thống sẽ ngăn chặn hành vi này như thế nào để đảm bảo không vượt quá giới hạn cho phép của trung tâm?</t>
  </si>
  <si>
    <t>Khi một người dùng thực hiện xác nhận lịch hẹn thông qua đường dẫn gửi qua email, quy trình nghiệp vụ cần thực hiện những bước kiểm tra và cập nhật nào để đảm bảo tính toàn vẹn của trạng thái lịch hẹn?</t>
  </si>
  <si>
    <t>Trong trường hợp một phương tiện đang có một lịch hẹn chưa hoàn tất hoặc chưa bị hủy, nếu người dùng cố gắng tạo một lịch hẹn mới cho cùng phương tiện đó, hệ thống sẽ xử lý ra sao?</t>
  </si>
  <si>
    <t>Khi nhân viên thực hiện cập nhật thông tin cho một lịch hẹn, hệ thống áp dụng những quy tắc nghiệp vụ nào để đảm bảo việc cập nhật không vi phạm thời gian hoặc trạng thái hiện tại của lịch hẹn?</t>
  </si>
  <si>
    <t>Khi một lịch hẹn bị hủy bởi người dùng, hệ thống cần thực hiện những thao tác gì để đảm bảo dữ liệu về năng lực phục vụ và bảng điều khiển quản trị được cập nhật chính xác?</t>
  </si>
  <si>
    <t>Khi người dùng thực hiện xác nhận lịch hẹn thông qua đường dẫn gửi qua email, hệ thống thực hiện kiểm tra tính hợp lệ của thông tin xác thực trước khi cập nhật trạng thái. Nếu quá trình kiểm tra thông tin xác thực thất bại, hệ thống sẽ xử lý như thế nào để đảm bảo tính toàn vẹn của dữ liệu và ngăn chặn việc cập nhật trạng thái lịch hẹn trái phép?</t>
  </si>
  <si>
    <t>Trong quy trình cập nhật trạng thái lịch hẹn, hệ thống có thực hiện đồng bộ lại dữ liệu tổng quan cho quản trị viên ngay sau khi trạng thái được thay đổi. Nếu việc cập nhật trạng thái thành công nhưng quá trình đồng bộ dữ liệu tổng quan gặp lỗi, điều này ảnh hưởng như thế nào đến tính nhất quán của báo cáo trên bảng điều khiển?</t>
  </si>
  <si>
    <t>Khi một lịch hẹn mới được tạo cho khách hàng, hệ thống tự động phát sinh các liên kết hành động và gửi thông báo. Nếu việc phát sinh liên kết hành động thất bại do hết hạn hoặc lỗi tạo mã xác thực, quy trình gửi thông báo sẽ bị ảnh hưởng ra sao?</t>
  </si>
  <si>
    <t>Hệ thống sử dụng cơ chế lưu trữ tạm thời (cache) cho dữ liệu tổng quan của quản trị viên. Nếu một lịch hẹn bị hủy, làm thế nào để đảm bảo rằng dữ liệu tổng quan hiển thị trên bảng điều khiển phản ánh chính xác số lượng lịch hẹn hiện tại mà không bị trễ do dữ liệu cũ?</t>
  </si>
  <si>
    <t>Khi hệ thống tính toán doanh thu và số lượng lịch hẹn theo tháng cho quản trị viên, các truy vấn này được thực hiện độc lập từ các kho dữ liệu khác nhau. Nếu một trong các truy vấn này trả về kết quả lỗi, toàn bộ báo cáo tổng quan sẽ xử lý ra sao để tránh hiển thị thông tin sai lệch?</t>
  </si>
  <si>
    <t>Khi một khách hàng bắt đầu cuộc trò chuyện dựa trên một lịch hẹn, làm thế nào hệ thống xác định được nhân viên nào sẽ tham gia hỗ trợ?</t>
  </si>
  <si>
    <t>Nếu hệ thống không tìm thấy nhân viên phù hợp cho lịch hẹn của khách hàng, cuộc trò chuyện sẽ được xử lý như thế nào?</t>
  </si>
  <si>
    <t>Khi một cuộc trò chuyện mới được tạo, làm thế nào để hệ thống lấy được thông tin tên và hình ảnh đại diện của nhân viên để hiển thị cho khách hàng?</t>
  </si>
  <si>
    <t>Khi khách hàng muốn xem danh sách các cuộc trò chuyện của mình, hệ thống dựa vào tiêu chí nào để sắp xếp thứ tự hiển thị?</t>
  </si>
  <si>
    <t>Khi người dùng yêu cầu xem lịch sử tin nhắn của một cuộc trò chuyện, hệ thống lấy dữ liệu như thế nào để đảm bảo hiệu năng?</t>
  </si>
  <si>
    <t>Khi người dùng muốn xem danh sách các cuộc trò chuyện của mình, hệ thống cần những thông tin đầu vào tối thiểu nào để phân trang dữ liệu?</t>
  </si>
  <si>
    <t>Nếu một người dùng yêu cầu xem lại lịch sử tin nhắn của một cuộc trò chuyện cụ thể, hệ thống sẽ dựa vào các tham số nào để xác định phạm vi dữ liệu cần lấy?</t>
  </si>
  <si>
    <t>Trong quy trình khởi tạo cuộc trò chuyện với trí tuệ nhân tạo, tại sao hệ thống cần kiểm tra sự tồn tại của cuộc trò chuyện trước khi thực hiện các bước tiếp theo?</t>
  </si>
  <si>
    <t>Khi bắt đầu một phiên tư vấn, nếu hệ thống không tìm thấy nhân viên khả dụng để hỗ trợ, kết quả trả về cho người dùng sẽ như thế nào?</t>
  </si>
  <si>
    <t>Để xác thực thông tin nhân viên tham gia vào phiên tư vấn, hệ thống thực hiện truy xuất thông tin dựa trên định danh tài khoản như thế nào?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</si>
</sst>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tabSelected="1" workbookViewId="0">
      <selection activeCell="A8" sqref="A8"/>
    </sheetView>
  </sheetViews>
  <sheetFormatPr defaultColWidth="9" defaultRowHeight="15" outlineLevelCol="6"/>
  <cols>
    <col min="1" max="1" width="83.2857142857143" customWidth="1"/>
    <col min="2" max="2" width="6.71428571428571" customWidth="1"/>
    <col min="3" max="3" width="32.5714285714286" customWidth="1"/>
    <col min="4" max="4" width="23.5714285714286" customWidth="1"/>
    <col min="5" max="5" width="16.7142857142857" customWidth="1"/>
    <col min="6" max="6" width="21" customWidth="1"/>
    <col min="7" max="7" width="31.2857142857143" customWidth="1"/>
  </cols>
  <sheetData>
    <row r="1" spans="1:7">
      <c r="A1" t="s">
        <v>0</v>
      </c>
    </row>
    <row r="3" spans="1:7">
      <c r="A3" t="s">
        <v>1</v>
      </c>
      <c r="B3" t="s">
        <v>2</v>
      </c>
      <c r="C3" t="s">
        <v>3</v>
      </c>
      <c r="D3" t="s">
        <v>4</v>
      </c>
      <c r="E3" t="s">
        <v>5</v>
      </c>
      <c r="F3" t="s">
        <v>6</v>
      </c>
      <c r="G3" t="s">
        <v>7</v>
      </c>
    </row>
    <row r="4" spans="1:7">
      <c r="A4" t="s">
        <v>8</v>
      </c>
      <c r="B4" t="s">
        <v>9</v>
      </c>
      <c r="C4">
        <f>AVERAGEIFS(Run!H:H,Run!D:D,"Traditional")</f>
        <v>0.00457678522194651</v>
      </c>
      <c r="D4">
        <f>AVERAGEIFS(Run!H:H,Run!D:D,"Graph-based (CFG)")</f>
        <v>0.00397022332506203</v>
      </c>
      <c r="E4">
        <f t="shared" ref="E4:E11" si="0">D4-C4</f>
        <v>-0.000606561896884478</v>
      </c>
      <c r="F4">
        <f t="shared" ref="F4:F11" si="1">IF(C4=0,0,(D4-C4)/C4)</f>
        <v>-0.132530120481928</v>
      </c>
      <c r="G4" t="s">
        <v>10</v>
      </c>
    </row>
    <row r="5" spans="1:7">
      <c r="A5" t="s">
        <v>11</v>
      </c>
      <c r="B5" t="s">
        <v>9</v>
      </c>
      <c r="C5">
        <f>AVERAGEIFS(Run!H:H,Run!D:D,"Traditional")</f>
        <v>0.00457678522194651</v>
      </c>
      <c r="D5">
        <f>AVERAGEIFS(Run!H:H,Run!D:D,"Graph-based (CFG)")</f>
        <v>0.00397022332506203</v>
      </c>
      <c r="E5">
        <f t="shared" si="0"/>
        <v>-0.000606561896884478</v>
      </c>
      <c r="F5">
        <f t="shared" si="1"/>
        <v>-0.132530120481928</v>
      </c>
      <c r="G5" t="s">
        <v>12</v>
      </c>
    </row>
    <row r="6" spans="1:7">
      <c r="A6" t="s">
        <v>13</v>
      </c>
      <c r="B6" t="s">
        <v>9</v>
      </c>
      <c r="C6">
        <f>AVERAGEIFS(Run!K:K,Run!D:D,"Traditional")</f>
        <v>1</v>
      </c>
      <c r="D6">
        <f>AVERAGEIFS(Run!K:K,Run!D:D,"Graph-based (CFG)")</f>
        <v>1</v>
      </c>
      <c r="E6">
        <f t="shared" si="0"/>
        <v>0</v>
      </c>
      <c r="F6">
        <f t="shared" si="1"/>
        <v>0</v>
      </c>
      <c r="G6" t="s">
        <v>14</v>
      </c>
    </row>
    <row r="7" spans="1:7">
      <c r="A7" t="s">
        <v>15</v>
      </c>
      <c r="B7" t="s">
        <v>16</v>
      </c>
      <c r="C7">
        <f>AVERAGEIFS(Run!E:E,Run!D:D,"Traditional")</f>
        <v>7014.33333333333</v>
      </c>
      <c r="D7">
        <f>AVERAGEIFS(Run!E:E,Run!D:D,"Graph-based (CFG)")</f>
        <v>7131.66666666667</v>
      </c>
      <c r="E7">
        <f t="shared" si="0"/>
        <v>117.333333333334</v>
      </c>
      <c r="F7">
        <f t="shared" si="1"/>
        <v>0.0167276529012024</v>
      </c>
      <c r="G7" t="s">
        <v>17</v>
      </c>
    </row>
    <row r="8" spans="1:7">
      <c r="A8" t="s">
        <v>18</v>
      </c>
      <c r="B8" t="s">
        <v>19</v>
      </c>
      <c r="C8">
        <f>SUMIFS(Run!F:F,Run!D:D,"Traditional")</f>
        <v>179475</v>
      </c>
      <c r="D8">
        <f>SUMIFS(Run!F:F,Run!D:D,"Graph-based (CFG)")</f>
        <v>110980</v>
      </c>
      <c r="E8">
        <f t="shared" si="0"/>
        <v>-68495</v>
      </c>
      <c r="F8">
        <f t="shared" si="1"/>
        <v>-0.381640897060872</v>
      </c>
      <c r="G8" t="s">
        <v>20</v>
      </c>
    </row>
    <row r="9" spans="1:7">
      <c r="A9" t="s">
        <v>21</v>
      </c>
      <c r="B9" t="s">
        <v>19</v>
      </c>
      <c r="C9">
        <f>SUMIFS(Run!G:G,Run!D:D,"Traditional")</f>
        <v>13435</v>
      </c>
      <c r="D9">
        <f>SUMIFS(Run!G:G,Run!D:D,"Graph-based (CFG)")</f>
        <v>14270</v>
      </c>
      <c r="E9">
        <f t="shared" si="0"/>
        <v>835</v>
      </c>
      <c r="F9">
        <f t="shared" si="1"/>
        <v>0.0621510978786751</v>
      </c>
      <c r="G9" t="s">
        <v>22</v>
      </c>
    </row>
    <row r="10" spans="1:7">
      <c r="A10" t="s">
        <v>23</v>
      </c>
      <c r="B10" t="s">
        <v>24</v>
      </c>
      <c r="C10">
        <f>COUNTIFS(Run!D:D,"Traditional",Run!J:J,"Đúng")</f>
        <v>15</v>
      </c>
      <c r="D10">
        <f>COUNTIFS(Run!D:D,"Graph-based (CFG)",Run!J:J,"Đúng")</f>
        <v>15</v>
      </c>
      <c r="E10">
        <f t="shared" si="0"/>
        <v>0</v>
      </c>
      <c r="F10">
        <f t="shared" si="1"/>
        <v>0</v>
      </c>
      <c r="G10" t="s">
        <v>25</v>
      </c>
    </row>
    <row r="11" spans="1:7">
      <c r="A11" t="s">
        <v>26</v>
      </c>
      <c r="B11" t="s">
        <v>27</v>
      </c>
      <c r="C11">
        <f>AVERAGEIFS(Run!L:L,Run!D:D,"Traditional")</f>
        <v>1</v>
      </c>
      <c r="D11">
        <f>AVERAGEIFS(Run!L:L,Run!D:D,"Graph-based (CFG)")</f>
        <v>1</v>
      </c>
      <c r="E11">
        <f t="shared" si="0"/>
        <v>0</v>
      </c>
      <c r="F11">
        <f t="shared" si="1"/>
        <v>0</v>
      </c>
      <c r="G11" t="s">
        <v>28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L33"/>
  <sheetViews>
    <sheetView workbookViewId="0">
      <selection activeCell="H17" sqref="H17"/>
    </sheetView>
  </sheetViews>
  <sheetFormatPr defaultColWidth="9" defaultRowHeight="15"/>
  <cols>
    <col min="2" max="2" width="21.4285714285714" customWidth="1"/>
    <col min="3" max="3" width="18.2857142857143" customWidth="1"/>
    <col min="4" max="4" width="17" customWidth="1"/>
    <col min="5" max="5" width="12.4285714285714" customWidth="1"/>
    <col min="6" max="6" width="11.7142857142857" customWidth="1"/>
    <col min="7" max="7" width="13.4285714285714" customWidth="1"/>
    <col min="8" max="8" width="12.8571428571429" customWidth="1"/>
    <col min="9" max="9" width="16.8571428571429" customWidth="1"/>
    <col min="10" max="10" width="8.57142857142857" customWidth="1"/>
  </cols>
  <sheetData>
    <row r="3" spans="1:12">
      <c r="A3" t="s">
        <v>29</v>
      </c>
      <c r="B3" t="s">
        <v>30</v>
      </c>
      <c r="C3" t="s">
        <v>31</v>
      </c>
      <c r="D3" t="s">
        <v>32</v>
      </c>
      <c r="E3" t="s">
        <v>33</v>
      </c>
      <c r="F3" t="s">
        <v>34</v>
      </c>
      <c r="G3" t="s">
        <v>35</v>
      </c>
      <c r="H3" t="s">
        <v>36</v>
      </c>
      <c r="I3" t="s">
        <v>37</v>
      </c>
      <c r="J3" t="s">
        <v>38</v>
      </c>
      <c r="K3" t="s">
        <v>39</v>
      </c>
      <c r="L3" t="s">
        <v>40</v>
      </c>
    </row>
    <row r="4" spans="1:12">
      <c r="A4">
        <v>1</v>
      </c>
      <c r="B4" t="s">
        <v>41</v>
      </c>
      <c r="C4" t="s">
        <v>42</v>
      </c>
      <c r="D4" t="s">
        <v>43</v>
      </c>
      <c r="E4">
        <v>5596</v>
      </c>
      <c r="F4">
        <v>11453</v>
      </c>
      <c r="G4">
        <v>909</v>
      </c>
      <c r="H4">
        <v>0.00413564929693962</v>
      </c>
      <c r="I4">
        <v>5</v>
      </c>
      <c r="J4" t="s">
        <v>44</v>
      </c>
      <c r="K4">
        <v>1</v>
      </c>
      <c r="L4">
        <v>1</v>
      </c>
    </row>
    <row r="5" spans="1:12">
      <c r="A5">
        <v>2</v>
      </c>
      <c r="B5" t="s">
        <v>41</v>
      </c>
      <c r="C5" t="s">
        <v>42</v>
      </c>
      <c r="D5" t="s">
        <v>43</v>
      </c>
      <c r="E5">
        <v>5596</v>
      </c>
      <c r="F5">
        <v>11453</v>
      </c>
      <c r="G5">
        <v>909</v>
      </c>
      <c r="H5">
        <v>0.00578990901571547</v>
      </c>
      <c r="I5">
        <v>7</v>
      </c>
      <c r="J5" t="s">
        <v>44</v>
      </c>
      <c r="K5">
        <v>1</v>
      </c>
      <c r="L5">
        <v>1</v>
      </c>
    </row>
    <row r="6" spans="1:12">
      <c r="A6">
        <v>3</v>
      </c>
      <c r="B6" t="s">
        <v>41</v>
      </c>
      <c r="C6" t="s">
        <v>42</v>
      </c>
      <c r="D6" t="s">
        <v>43</v>
      </c>
      <c r="E6">
        <v>5596</v>
      </c>
      <c r="F6">
        <v>11453</v>
      </c>
      <c r="G6">
        <v>909</v>
      </c>
      <c r="H6">
        <v>0.00413564929693962</v>
      </c>
      <c r="I6">
        <v>5</v>
      </c>
      <c r="J6" t="s">
        <v>44</v>
      </c>
      <c r="K6">
        <v>1</v>
      </c>
      <c r="L6">
        <v>1</v>
      </c>
    </row>
    <row r="7" spans="1:12">
      <c r="A7">
        <v>4</v>
      </c>
      <c r="B7" t="s">
        <v>41</v>
      </c>
      <c r="C7" t="s">
        <v>42</v>
      </c>
      <c r="D7" t="s">
        <v>43</v>
      </c>
      <c r="E7">
        <v>5596</v>
      </c>
      <c r="F7">
        <v>11453</v>
      </c>
      <c r="G7">
        <v>909</v>
      </c>
      <c r="H7">
        <v>0.00413564929693962</v>
      </c>
      <c r="I7">
        <v>5</v>
      </c>
      <c r="J7" t="s">
        <v>44</v>
      </c>
      <c r="K7">
        <v>1</v>
      </c>
      <c r="L7">
        <v>1</v>
      </c>
    </row>
    <row r="8" spans="1:12">
      <c r="A8">
        <v>5</v>
      </c>
      <c r="B8" t="s">
        <v>41</v>
      </c>
      <c r="C8" t="s">
        <v>42</v>
      </c>
      <c r="D8" t="s">
        <v>43</v>
      </c>
      <c r="E8">
        <v>5596</v>
      </c>
      <c r="F8">
        <v>11453</v>
      </c>
      <c r="G8">
        <v>909</v>
      </c>
      <c r="H8">
        <v>0.00413564929693962</v>
      </c>
      <c r="I8">
        <v>5</v>
      </c>
      <c r="J8" t="s">
        <v>44</v>
      </c>
      <c r="K8">
        <v>1</v>
      </c>
      <c r="L8">
        <v>1</v>
      </c>
    </row>
    <row r="9" spans="1:12">
      <c r="A9">
        <v>1</v>
      </c>
      <c r="B9" t="s">
        <v>45</v>
      </c>
      <c r="C9" t="s">
        <v>42</v>
      </c>
      <c r="D9" t="s">
        <v>46</v>
      </c>
      <c r="E9">
        <v>7490</v>
      </c>
      <c r="F9">
        <v>12231</v>
      </c>
      <c r="G9">
        <v>951</v>
      </c>
      <c r="H9">
        <v>0.00496277915632754</v>
      </c>
      <c r="I9">
        <v>6</v>
      </c>
      <c r="J9" t="s">
        <v>44</v>
      </c>
      <c r="K9">
        <v>1</v>
      </c>
      <c r="L9">
        <v>1</v>
      </c>
    </row>
    <row r="10" spans="1:12">
      <c r="A10">
        <v>2</v>
      </c>
      <c r="B10" t="s">
        <v>45</v>
      </c>
      <c r="C10" t="s">
        <v>42</v>
      </c>
      <c r="D10" t="s">
        <v>46</v>
      </c>
      <c r="E10">
        <v>7490</v>
      </c>
      <c r="F10">
        <v>12231</v>
      </c>
      <c r="G10">
        <v>951</v>
      </c>
      <c r="H10">
        <v>0.00248138957816377</v>
      </c>
      <c r="I10">
        <v>3</v>
      </c>
      <c r="J10" t="s">
        <v>44</v>
      </c>
      <c r="K10">
        <v>1</v>
      </c>
      <c r="L10">
        <v>1</v>
      </c>
    </row>
    <row r="11" spans="1:12">
      <c r="A11">
        <v>3</v>
      </c>
      <c r="B11" t="s">
        <v>45</v>
      </c>
      <c r="C11" t="s">
        <v>42</v>
      </c>
      <c r="D11" t="s">
        <v>46</v>
      </c>
      <c r="E11">
        <v>7490</v>
      </c>
      <c r="F11">
        <v>12231</v>
      </c>
      <c r="G11">
        <v>951</v>
      </c>
      <c r="H11">
        <v>0.00496277915632754</v>
      </c>
      <c r="I11">
        <v>6</v>
      </c>
      <c r="J11" t="s">
        <v>44</v>
      </c>
      <c r="K11">
        <v>1</v>
      </c>
      <c r="L11">
        <v>1</v>
      </c>
    </row>
    <row r="12" spans="1:12">
      <c r="A12">
        <v>4</v>
      </c>
      <c r="B12" t="s">
        <v>45</v>
      </c>
      <c r="C12" t="s">
        <v>42</v>
      </c>
      <c r="D12" t="s">
        <v>46</v>
      </c>
      <c r="E12">
        <v>7490</v>
      </c>
      <c r="F12">
        <v>12231</v>
      </c>
      <c r="G12">
        <v>951</v>
      </c>
      <c r="H12">
        <v>0.00413564929693962</v>
      </c>
      <c r="I12">
        <v>5</v>
      </c>
      <c r="J12" t="s">
        <v>44</v>
      </c>
      <c r="K12">
        <v>1</v>
      </c>
      <c r="L12">
        <v>1</v>
      </c>
    </row>
    <row r="13" spans="1:12">
      <c r="A13">
        <v>5</v>
      </c>
      <c r="B13" t="s">
        <v>45</v>
      </c>
      <c r="C13" t="s">
        <v>42</v>
      </c>
      <c r="D13" t="s">
        <v>46</v>
      </c>
      <c r="E13">
        <v>7490</v>
      </c>
      <c r="F13">
        <v>12231</v>
      </c>
      <c r="G13">
        <v>951</v>
      </c>
      <c r="H13">
        <v>0.00413564929693962</v>
      </c>
      <c r="I13">
        <v>5</v>
      </c>
      <c r="J13" t="s">
        <v>44</v>
      </c>
      <c r="K13">
        <v>1</v>
      </c>
      <c r="L13">
        <v>1</v>
      </c>
    </row>
    <row r="14" spans="1:12">
      <c r="A14">
        <v>1</v>
      </c>
      <c r="B14" t="s">
        <v>47</v>
      </c>
      <c r="C14" t="s">
        <v>48</v>
      </c>
      <c r="D14" t="s">
        <v>43</v>
      </c>
      <c r="E14">
        <v>6021</v>
      </c>
      <c r="F14">
        <v>19306</v>
      </c>
      <c r="G14">
        <v>1014</v>
      </c>
      <c r="H14">
        <v>0.00578990901571547</v>
      </c>
      <c r="I14">
        <v>7</v>
      </c>
      <c r="J14" t="s">
        <v>44</v>
      </c>
      <c r="K14">
        <v>1</v>
      </c>
      <c r="L14">
        <v>1</v>
      </c>
    </row>
    <row r="15" spans="1:12">
      <c r="A15">
        <v>2</v>
      </c>
      <c r="B15" t="s">
        <v>47</v>
      </c>
      <c r="C15" t="s">
        <v>48</v>
      </c>
      <c r="D15" t="s">
        <v>43</v>
      </c>
      <c r="E15">
        <v>6021</v>
      </c>
      <c r="F15">
        <v>19306</v>
      </c>
      <c r="G15">
        <v>1014</v>
      </c>
      <c r="H15">
        <v>0.00578990901571547</v>
      </c>
      <c r="I15">
        <v>7</v>
      </c>
      <c r="J15" t="s">
        <v>44</v>
      </c>
      <c r="K15">
        <v>1</v>
      </c>
      <c r="L15">
        <v>1</v>
      </c>
    </row>
    <row r="16" spans="1:12">
      <c r="A16">
        <v>3</v>
      </c>
      <c r="B16" t="s">
        <v>47</v>
      </c>
      <c r="C16" t="s">
        <v>48</v>
      </c>
      <c r="D16" t="s">
        <v>43</v>
      </c>
      <c r="E16">
        <v>6021</v>
      </c>
      <c r="F16">
        <v>19306</v>
      </c>
      <c r="G16">
        <v>1014</v>
      </c>
      <c r="H16">
        <v>0.00661703887510339</v>
      </c>
      <c r="I16">
        <v>8</v>
      </c>
      <c r="J16" t="s">
        <v>44</v>
      </c>
      <c r="K16">
        <v>1</v>
      </c>
      <c r="L16">
        <v>1</v>
      </c>
    </row>
    <row r="17" spans="1:12">
      <c r="A17">
        <v>4</v>
      </c>
      <c r="B17" t="s">
        <v>47</v>
      </c>
      <c r="C17" t="s">
        <v>48</v>
      </c>
      <c r="D17" t="s">
        <v>43</v>
      </c>
      <c r="E17">
        <v>6021</v>
      </c>
      <c r="F17">
        <v>19306</v>
      </c>
      <c r="G17">
        <v>1014</v>
      </c>
      <c r="H17">
        <v>0.00661703887510339</v>
      </c>
      <c r="I17">
        <v>8</v>
      </c>
      <c r="J17" t="s">
        <v>44</v>
      </c>
      <c r="K17">
        <v>1</v>
      </c>
      <c r="L17">
        <v>1</v>
      </c>
    </row>
    <row r="18" spans="1:12">
      <c r="A18">
        <v>5</v>
      </c>
      <c r="B18" t="s">
        <v>47</v>
      </c>
      <c r="C18" t="s">
        <v>48</v>
      </c>
      <c r="D18" t="s">
        <v>43</v>
      </c>
      <c r="E18">
        <v>6021</v>
      </c>
      <c r="F18">
        <v>19306</v>
      </c>
      <c r="G18">
        <v>1014</v>
      </c>
      <c r="H18">
        <v>0.00496277915632754</v>
      </c>
      <c r="I18">
        <v>6</v>
      </c>
      <c r="J18" t="s">
        <v>44</v>
      </c>
      <c r="K18">
        <v>1</v>
      </c>
      <c r="L18">
        <v>1</v>
      </c>
    </row>
    <row r="19" spans="1:12">
      <c r="A19">
        <v>1</v>
      </c>
      <c r="B19" t="s">
        <v>49</v>
      </c>
      <c r="C19" t="s">
        <v>48</v>
      </c>
      <c r="D19" t="s">
        <v>46</v>
      </c>
      <c r="E19">
        <v>8162</v>
      </c>
      <c r="F19">
        <v>6050</v>
      </c>
      <c r="G19">
        <v>1147</v>
      </c>
      <c r="H19">
        <v>0.00248138957816377</v>
      </c>
      <c r="I19">
        <v>3</v>
      </c>
      <c r="J19" t="s">
        <v>44</v>
      </c>
      <c r="K19">
        <v>1</v>
      </c>
      <c r="L19">
        <v>1</v>
      </c>
    </row>
    <row r="20" spans="1:12">
      <c r="A20">
        <v>2</v>
      </c>
      <c r="B20" t="s">
        <v>49</v>
      </c>
      <c r="C20" t="s">
        <v>48</v>
      </c>
      <c r="D20" t="s">
        <v>46</v>
      </c>
      <c r="E20">
        <v>8162</v>
      </c>
      <c r="F20">
        <v>6050</v>
      </c>
      <c r="G20">
        <v>1147</v>
      </c>
      <c r="H20">
        <v>0.0033085194375517</v>
      </c>
      <c r="I20">
        <v>4</v>
      </c>
      <c r="J20" t="s">
        <v>44</v>
      </c>
      <c r="K20">
        <v>1</v>
      </c>
      <c r="L20">
        <v>1</v>
      </c>
    </row>
    <row r="21" spans="1:12">
      <c r="A21">
        <v>3</v>
      </c>
      <c r="B21" t="s">
        <v>49</v>
      </c>
      <c r="C21" t="s">
        <v>48</v>
      </c>
      <c r="D21" t="s">
        <v>46</v>
      </c>
      <c r="E21">
        <v>8162</v>
      </c>
      <c r="F21">
        <v>6050</v>
      </c>
      <c r="G21">
        <v>1147</v>
      </c>
      <c r="H21">
        <v>0.00661703887510339</v>
      </c>
      <c r="I21">
        <v>8</v>
      </c>
      <c r="J21" t="s">
        <v>44</v>
      </c>
      <c r="K21">
        <v>1</v>
      </c>
      <c r="L21">
        <v>1</v>
      </c>
    </row>
    <row r="22" spans="1:12">
      <c r="A22">
        <v>4</v>
      </c>
      <c r="B22" t="s">
        <v>49</v>
      </c>
      <c r="C22" t="s">
        <v>48</v>
      </c>
      <c r="D22" t="s">
        <v>46</v>
      </c>
      <c r="E22">
        <v>8162</v>
      </c>
      <c r="F22">
        <v>6050</v>
      </c>
      <c r="G22">
        <v>1147</v>
      </c>
      <c r="H22">
        <v>0.00413564929693962</v>
      </c>
      <c r="I22">
        <v>5</v>
      </c>
      <c r="J22" t="s">
        <v>44</v>
      </c>
      <c r="K22">
        <v>1</v>
      </c>
      <c r="L22">
        <v>1</v>
      </c>
    </row>
    <row r="23" spans="1:12">
      <c r="A23">
        <v>5</v>
      </c>
      <c r="B23" t="s">
        <v>49</v>
      </c>
      <c r="C23" t="s">
        <v>48</v>
      </c>
      <c r="D23" t="s">
        <v>46</v>
      </c>
      <c r="E23">
        <v>8162</v>
      </c>
      <c r="F23">
        <v>6050</v>
      </c>
      <c r="G23">
        <v>1147</v>
      </c>
      <c r="H23">
        <v>0.00661703887510339</v>
      </c>
      <c r="I23">
        <v>8</v>
      </c>
      <c r="J23" t="s">
        <v>44</v>
      </c>
      <c r="K23">
        <v>1</v>
      </c>
      <c r="L23">
        <v>1</v>
      </c>
    </row>
    <row r="24" spans="1:12">
      <c r="A24">
        <v>1</v>
      </c>
      <c r="B24" t="s">
        <v>50</v>
      </c>
      <c r="C24" t="s">
        <v>51</v>
      </c>
      <c r="D24" t="s">
        <v>43</v>
      </c>
      <c r="E24">
        <v>9426</v>
      </c>
      <c r="F24">
        <v>5136</v>
      </c>
      <c r="G24">
        <v>764</v>
      </c>
      <c r="H24">
        <v>0.00413564929693962</v>
      </c>
      <c r="I24">
        <v>5</v>
      </c>
      <c r="J24" t="s">
        <v>44</v>
      </c>
      <c r="K24">
        <v>1</v>
      </c>
      <c r="L24">
        <v>1</v>
      </c>
    </row>
    <row r="25" spans="1:12">
      <c r="A25">
        <v>2</v>
      </c>
      <c r="B25" t="s">
        <v>50</v>
      </c>
      <c r="C25" t="s">
        <v>51</v>
      </c>
      <c r="D25" t="s">
        <v>43</v>
      </c>
      <c r="E25">
        <v>9426</v>
      </c>
      <c r="F25">
        <v>5136</v>
      </c>
      <c r="G25">
        <v>764</v>
      </c>
      <c r="H25">
        <v>0.00248138957816377</v>
      </c>
      <c r="I25">
        <v>3</v>
      </c>
      <c r="J25" t="s">
        <v>44</v>
      </c>
      <c r="K25">
        <v>1</v>
      </c>
      <c r="L25">
        <v>1</v>
      </c>
    </row>
    <row r="26" spans="1:12">
      <c r="A26">
        <v>3</v>
      </c>
      <c r="B26" t="s">
        <v>50</v>
      </c>
      <c r="C26" t="s">
        <v>51</v>
      </c>
      <c r="D26" t="s">
        <v>43</v>
      </c>
      <c r="E26">
        <v>9426</v>
      </c>
      <c r="F26">
        <v>5136</v>
      </c>
      <c r="G26">
        <v>764</v>
      </c>
      <c r="H26">
        <v>0.00496277915632754</v>
      </c>
      <c r="I26">
        <v>6</v>
      </c>
      <c r="J26" t="s">
        <v>44</v>
      </c>
      <c r="K26">
        <v>1</v>
      </c>
      <c r="L26">
        <v>1</v>
      </c>
    </row>
    <row r="27" spans="1:12">
      <c r="A27">
        <v>4</v>
      </c>
      <c r="B27" t="s">
        <v>50</v>
      </c>
      <c r="C27" t="s">
        <v>51</v>
      </c>
      <c r="D27" t="s">
        <v>43</v>
      </c>
      <c r="E27">
        <v>9426</v>
      </c>
      <c r="F27">
        <v>5136</v>
      </c>
      <c r="G27">
        <v>764</v>
      </c>
      <c r="H27">
        <v>0.00248138957816377</v>
      </c>
      <c r="I27">
        <v>3</v>
      </c>
      <c r="J27" t="s">
        <v>44</v>
      </c>
      <c r="K27">
        <v>1</v>
      </c>
      <c r="L27">
        <v>1</v>
      </c>
    </row>
    <row r="28" spans="1:12">
      <c r="A28">
        <v>5</v>
      </c>
      <c r="B28" t="s">
        <v>50</v>
      </c>
      <c r="C28" t="s">
        <v>51</v>
      </c>
      <c r="D28" t="s">
        <v>43</v>
      </c>
      <c r="E28">
        <v>9426</v>
      </c>
      <c r="F28">
        <v>5136</v>
      </c>
      <c r="G28">
        <v>764</v>
      </c>
      <c r="H28">
        <v>0.00248138957816377</v>
      </c>
      <c r="I28">
        <v>3</v>
      </c>
      <c r="J28" t="s">
        <v>44</v>
      </c>
      <c r="K28">
        <v>1</v>
      </c>
      <c r="L28">
        <v>1</v>
      </c>
    </row>
    <row r="29" spans="1:12">
      <c r="A29">
        <v>1</v>
      </c>
      <c r="B29" t="s">
        <v>52</v>
      </c>
      <c r="C29" t="s">
        <v>51</v>
      </c>
      <c r="D29" t="s">
        <v>46</v>
      </c>
      <c r="E29">
        <v>5743</v>
      </c>
      <c r="F29">
        <v>3915</v>
      </c>
      <c r="G29">
        <v>756</v>
      </c>
      <c r="H29">
        <v>0.00248138957816377</v>
      </c>
      <c r="I29">
        <v>3</v>
      </c>
      <c r="J29" t="s">
        <v>44</v>
      </c>
      <c r="K29">
        <v>1</v>
      </c>
      <c r="L29">
        <v>1</v>
      </c>
    </row>
    <row r="30" spans="1:12">
      <c r="A30">
        <v>2</v>
      </c>
      <c r="B30" t="s">
        <v>52</v>
      </c>
      <c r="C30" t="s">
        <v>51</v>
      </c>
      <c r="D30" t="s">
        <v>46</v>
      </c>
      <c r="E30">
        <v>5743</v>
      </c>
      <c r="F30">
        <v>3915</v>
      </c>
      <c r="G30">
        <v>756</v>
      </c>
      <c r="H30">
        <v>0.00248138957816377</v>
      </c>
      <c r="I30">
        <v>3</v>
      </c>
      <c r="J30" t="s">
        <v>44</v>
      </c>
      <c r="K30">
        <v>1</v>
      </c>
      <c r="L30">
        <v>1</v>
      </c>
    </row>
    <row r="31" spans="1:12">
      <c r="A31">
        <v>3</v>
      </c>
      <c r="B31" t="s">
        <v>52</v>
      </c>
      <c r="C31" t="s">
        <v>51</v>
      </c>
      <c r="D31" t="s">
        <v>46</v>
      </c>
      <c r="E31">
        <v>5743</v>
      </c>
      <c r="F31">
        <v>3915</v>
      </c>
      <c r="G31">
        <v>756</v>
      </c>
      <c r="H31">
        <v>0.00248138957816377</v>
      </c>
      <c r="I31">
        <v>3</v>
      </c>
      <c r="J31" t="s">
        <v>44</v>
      </c>
      <c r="K31">
        <v>1</v>
      </c>
      <c r="L31">
        <v>1</v>
      </c>
    </row>
    <row r="32" spans="1:12">
      <c r="A32">
        <v>4</v>
      </c>
      <c r="B32" t="s">
        <v>52</v>
      </c>
      <c r="C32" t="s">
        <v>51</v>
      </c>
      <c r="D32" t="s">
        <v>46</v>
      </c>
      <c r="E32">
        <v>5743</v>
      </c>
      <c r="F32">
        <v>3915</v>
      </c>
      <c r="G32">
        <v>756</v>
      </c>
      <c r="H32">
        <v>0.00413564929693962</v>
      </c>
      <c r="I32">
        <v>5</v>
      </c>
      <c r="J32" t="s">
        <v>44</v>
      </c>
      <c r="K32">
        <v>1</v>
      </c>
      <c r="L32">
        <v>1</v>
      </c>
    </row>
    <row r="33" spans="1:12">
      <c r="A33">
        <v>5</v>
      </c>
      <c r="B33" t="s">
        <v>52</v>
      </c>
      <c r="C33" t="s">
        <v>51</v>
      </c>
      <c r="D33" t="s">
        <v>46</v>
      </c>
      <c r="E33">
        <v>5743</v>
      </c>
      <c r="F33">
        <v>3915</v>
      </c>
      <c r="G33">
        <v>756</v>
      </c>
      <c r="H33">
        <v>0.00413564929693962</v>
      </c>
      <c r="I33">
        <v>5</v>
      </c>
      <c r="J33" t="s">
        <v>44</v>
      </c>
      <c r="K33">
        <v>1</v>
      </c>
      <c r="L33">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33"/>
  <sheetViews>
    <sheetView workbookViewId="0">
      <selection activeCell="A1" sqref="A1"/>
    </sheetView>
  </sheetViews>
  <sheetFormatPr defaultColWidth="9" defaultRowHeight="15" outlineLevelCol="3"/>
  <sheetData>
    <row r="3" spans="1:4">
      <c r="A3" t="s">
        <v>30</v>
      </c>
      <c r="B3" t="s">
        <v>53</v>
      </c>
      <c r="C3" t="s">
        <v>29</v>
      </c>
      <c r="D3" t="s">
        <v>54</v>
      </c>
    </row>
    <row r="4" spans="1:4">
      <c r="A4" t="s">
        <v>41</v>
      </c>
      <c r="B4" t="s">
        <v>43</v>
      </c>
      <c r="C4">
        <v>1</v>
      </c>
      <c r="D4" t="s">
        <v>55</v>
      </c>
    </row>
    <row r="5" spans="1:4">
      <c r="A5" t="s">
        <v>41</v>
      </c>
      <c r="B5" t="s">
        <v>43</v>
      </c>
      <c r="C5">
        <v>2</v>
      </c>
      <c r="D5" t="s">
        <v>56</v>
      </c>
    </row>
    <row r="6" spans="1:4">
      <c r="A6" t="s">
        <v>41</v>
      </c>
      <c r="B6" t="s">
        <v>43</v>
      </c>
      <c r="C6">
        <v>3</v>
      </c>
      <c r="D6" t="s">
        <v>57</v>
      </c>
    </row>
    <row r="7" spans="1:4">
      <c r="A7" t="s">
        <v>41</v>
      </c>
      <c r="B7" t="s">
        <v>43</v>
      </c>
      <c r="C7">
        <v>4</v>
      </c>
      <c r="D7" t="s">
        <v>58</v>
      </c>
    </row>
    <row r="8" spans="1:4">
      <c r="A8" t="s">
        <v>41</v>
      </c>
      <c r="B8" t="s">
        <v>43</v>
      </c>
      <c r="C8">
        <v>5</v>
      </c>
      <c r="D8" t="s">
        <v>59</v>
      </c>
    </row>
    <row r="9" spans="1:4">
      <c r="A9" t="s">
        <v>45</v>
      </c>
      <c r="B9" t="s">
        <v>46</v>
      </c>
      <c r="C9">
        <v>1</v>
      </c>
      <c r="D9" t="s">
        <v>60</v>
      </c>
    </row>
    <row r="10" spans="1:4">
      <c r="A10" t="s">
        <v>45</v>
      </c>
      <c r="B10" t="s">
        <v>46</v>
      </c>
      <c r="C10">
        <v>2</v>
      </c>
      <c r="D10" t="s">
        <v>61</v>
      </c>
    </row>
    <row r="11" spans="1:4">
      <c r="A11" t="s">
        <v>45</v>
      </c>
      <c r="B11" t="s">
        <v>46</v>
      </c>
      <c r="C11">
        <v>3</v>
      </c>
      <c r="D11" t="s">
        <v>62</v>
      </c>
    </row>
    <row r="12" spans="1:4">
      <c r="A12" t="s">
        <v>45</v>
      </c>
      <c r="B12" t="s">
        <v>46</v>
      </c>
      <c r="C12">
        <v>4</v>
      </c>
      <c r="D12" t="s">
        <v>63</v>
      </c>
    </row>
    <row r="13" spans="1:4">
      <c r="A13" t="s">
        <v>45</v>
      </c>
      <c r="B13" t="s">
        <v>46</v>
      </c>
      <c r="C13">
        <v>5</v>
      </c>
      <c r="D13" t="s">
        <v>64</v>
      </c>
    </row>
    <row r="14" spans="1:4">
      <c r="A14" t="s">
        <v>47</v>
      </c>
      <c r="B14" t="s">
        <v>43</v>
      </c>
      <c r="C14">
        <v>1</v>
      </c>
      <c r="D14" t="s">
        <v>65</v>
      </c>
    </row>
    <row r="15" spans="1:4">
      <c r="A15" t="s">
        <v>47</v>
      </c>
      <c r="B15" t="s">
        <v>43</v>
      </c>
      <c r="C15">
        <v>2</v>
      </c>
      <c r="D15" t="s">
        <v>66</v>
      </c>
    </row>
    <row r="16" spans="1:4">
      <c r="A16" t="s">
        <v>47</v>
      </c>
      <c r="B16" t="s">
        <v>43</v>
      </c>
      <c r="C16">
        <v>3</v>
      </c>
      <c r="D16" t="s">
        <v>67</v>
      </c>
    </row>
    <row r="17" spans="1:4">
      <c r="A17" t="s">
        <v>47</v>
      </c>
      <c r="B17" t="s">
        <v>43</v>
      </c>
      <c r="C17">
        <v>4</v>
      </c>
      <c r="D17" t="s">
        <v>68</v>
      </c>
    </row>
    <row r="18" spans="1:4">
      <c r="A18" t="s">
        <v>47</v>
      </c>
      <c r="B18" t="s">
        <v>43</v>
      </c>
      <c r="C18">
        <v>5</v>
      </c>
      <c r="D18" t="s">
        <v>69</v>
      </c>
    </row>
    <row r="19" spans="1:4">
      <c r="A19" t="s">
        <v>49</v>
      </c>
      <c r="B19" t="s">
        <v>46</v>
      </c>
      <c r="C19">
        <v>1</v>
      </c>
      <c r="D19" t="s">
        <v>70</v>
      </c>
    </row>
    <row r="20" spans="1:4">
      <c r="A20" t="s">
        <v>49</v>
      </c>
      <c r="B20" t="s">
        <v>46</v>
      </c>
      <c r="C20">
        <v>2</v>
      </c>
      <c r="D20" t="s">
        <v>71</v>
      </c>
    </row>
    <row r="21" spans="1:4">
      <c r="A21" t="s">
        <v>49</v>
      </c>
      <c r="B21" t="s">
        <v>46</v>
      </c>
      <c r="C21">
        <v>3</v>
      </c>
      <c r="D21" t="s">
        <v>72</v>
      </c>
    </row>
    <row r="22" spans="1:4">
      <c r="A22" t="s">
        <v>49</v>
      </c>
      <c r="B22" t="s">
        <v>46</v>
      </c>
      <c r="C22">
        <v>4</v>
      </c>
      <c r="D22" t="s">
        <v>73</v>
      </c>
    </row>
    <row r="23" spans="1:4">
      <c r="A23" t="s">
        <v>49</v>
      </c>
      <c r="B23" t="s">
        <v>46</v>
      </c>
      <c r="C23">
        <v>5</v>
      </c>
      <c r="D23" t="s">
        <v>74</v>
      </c>
    </row>
    <row r="24" spans="1:4">
      <c r="A24" t="s">
        <v>50</v>
      </c>
      <c r="B24" t="s">
        <v>43</v>
      </c>
      <c r="C24">
        <v>1</v>
      </c>
      <c r="D24" t="s">
        <v>75</v>
      </c>
    </row>
    <row r="25" spans="1:4">
      <c r="A25" t="s">
        <v>50</v>
      </c>
      <c r="B25" t="s">
        <v>43</v>
      </c>
      <c r="C25">
        <v>2</v>
      </c>
      <c r="D25" t="s">
        <v>76</v>
      </c>
    </row>
    <row r="26" spans="1:4">
      <c r="A26" t="s">
        <v>50</v>
      </c>
      <c r="B26" t="s">
        <v>43</v>
      </c>
      <c r="C26">
        <v>3</v>
      </c>
      <c r="D26" t="s">
        <v>77</v>
      </c>
    </row>
    <row r="27" spans="1:4">
      <c r="A27" t="s">
        <v>50</v>
      </c>
      <c r="B27" t="s">
        <v>43</v>
      </c>
      <c r="C27">
        <v>4</v>
      </c>
      <c r="D27" t="s">
        <v>78</v>
      </c>
    </row>
    <row r="28" spans="1:4">
      <c r="A28" t="s">
        <v>50</v>
      </c>
      <c r="B28" t="s">
        <v>43</v>
      </c>
      <c r="C28">
        <v>5</v>
      </c>
      <c r="D28" t="s">
        <v>79</v>
      </c>
    </row>
    <row r="29" spans="1:4">
      <c r="A29" t="s">
        <v>52</v>
      </c>
      <c r="B29" t="s">
        <v>46</v>
      </c>
      <c r="C29">
        <v>1</v>
      </c>
      <c r="D29" t="s">
        <v>80</v>
      </c>
    </row>
    <row r="30" spans="1:4">
      <c r="A30" t="s">
        <v>52</v>
      </c>
      <c r="B30" t="s">
        <v>46</v>
      </c>
      <c r="C30">
        <v>2</v>
      </c>
      <c r="D30" t="s">
        <v>81</v>
      </c>
    </row>
    <row r="31" spans="1:4">
      <c r="A31" t="s">
        <v>52</v>
      </c>
      <c r="B31" t="s">
        <v>46</v>
      </c>
      <c r="C31">
        <v>3</v>
      </c>
      <c r="D31" t="s">
        <v>82</v>
      </c>
    </row>
    <row r="32" spans="1:4">
      <c r="A32" t="s">
        <v>52</v>
      </c>
      <c r="B32" t="s">
        <v>46</v>
      </c>
      <c r="C32">
        <v>4</v>
      </c>
      <c r="D32" t="s">
        <v>83</v>
      </c>
    </row>
    <row r="33" spans="1:4">
      <c r="A33" t="s">
        <v>52</v>
      </c>
      <c r="B33" t="s">
        <v>46</v>
      </c>
      <c r="C33">
        <v>5</v>
      </c>
      <c r="D33" t="s">
        <v>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Báo cáo</vt:lpstr>
      <vt:lpstr>Run</vt:lpstr>
      <vt:lpstr>Chi tiết Câu hỏi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2026-09-03T15:17:00Z</dcterms:created>
  <dcterms:modified xsi:type="dcterms:W3CDTF">2026-09-04T05:47:53Z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0483B826BE604401B6AF9E3F24A31F43_12</vt:lpwstr>
  </property>
  <property fmtid="{D5CDD505-2E9C-101B-9397-08002B2CF9AE}" pid="3" name="KSOProductBuildVer">
    <vt:lpwstr>1033-12.1.0.28032</vt:lpwstr>
  </property>
  <property fmtid="{D5CDD505-2E9C-101B-9397-08002B2CF9AE}" pid="4" name="CalculationRule">
    <vt:i4>0</vt:i4>
  </property>
</Properties>
</file>